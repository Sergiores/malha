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9f1cc87a79b3129/DILMAR/PLANILHAS DE CÁLCULO/ENVIADO SÉRGIO/"/>
    </mc:Choice>
  </mc:AlternateContent>
  <xr:revisionPtr revIDLastSave="4" documentId="11_0D8C86E2A144B7F5BC3B5624490BE19C3B08E7B4" xr6:coauthVersionLast="47" xr6:coauthVersionMax="47" xr10:uidLastSave="{C2D8D0E8-AF1D-4A04-840B-AA53F9675107}"/>
  <bookViews>
    <workbookView xWindow="-120" yWindow="-120" windowWidth="29040" windowHeight="15720" tabRatio="879" xr2:uid="{00000000-000D-0000-FFFF-FFFF00000000}"/>
  </bookViews>
  <sheets>
    <sheet name="Idade do Concreto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2" l="1"/>
  <c r="E12" i="12"/>
  <c r="E13" i="12" s="1"/>
  <c r="C19" i="12" s="1"/>
  <c r="E14" i="12" l="1"/>
  <c r="H19" i="12" s="1"/>
</calcChain>
</file>

<file path=xl/sharedStrings.xml><?xml version="1.0" encoding="utf-8"?>
<sst xmlns="http://schemas.openxmlformats.org/spreadsheetml/2006/main" count="31" uniqueCount="27">
  <si>
    <t>%</t>
  </si>
  <si>
    <t>Cimento</t>
  </si>
  <si>
    <t>Dados</t>
  </si>
  <si>
    <t>VERIFICAÇÃO DA IDADE DO CONCRETO</t>
  </si>
  <si>
    <t>Variabilidade de Cimentos</t>
  </si>
  <si>
    <r>
      <t xml:space="preserve">Fck </t>
    </r>
    <r>
      <rPr>
        <sz val="7"/>
        <color theme="1"/>
        <rFont val="Calibri"/>
        <family val="2"/>
        <scheme val="minor"/>
      </rPr>
      <t>28 dias</t>
    </r>
  </si>
  <si>
    <t>MPa</t>
  </si>
  <si>
    <t>Valor</t>
  </si>
  <si>
    <t>Idade efet.</t>
  </si>
  <si>
    <t>dias</t>
  </si>
  <si>
    <t>CP I</t>
  </si>
  <si>
    <t>CP II</t>
  </si>
  <si>
    <t>Carga de projeto</t>
  </si>
  <si>
    <t>kN, kN/m 
ou kN/m²</t>
  </si>
  <si>
    <t>CP III</t>
  </si>
  <si>
    <t>CP IV</t>
  </si>
  <si>
    <t>CP V - ARI</t>
  </si>
  <si>
    <t>RESULTADOS</t>
  </si>
  <si>
    <t>β₁</t>
  </si>
  <si>
    <t>Resistência efetiva</t>
  </si>
  <si>
    <t>Carga efetiva</t>
  </si>
  <si>
    <t>ANÁLISE</t>
  </si>
  <si>
    <t>Em</t>
  </si>
  <si>
    <t xml:space="preserve">dias, o concreto atingiu uma resistência </t>
  </si>
  <si>
    <t>de</t>
  </si>
  <si>
    <t xml:space="preserve">MPa. Resistindo a uma carga de </t>
  </si>
  <si>
    <t xml:space="preserve">      kN, kN/m ou kN/m².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</si>
</sst>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3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7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CF0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85B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66" fontId="0" fillId="0" borderId="20" xfId="0" applyNumberForma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7" borderId="13" xfId="0" applyFill="1" applyBorder="1" applyAlignment="1">
      <alignment horizontal="right" vertical="center"/>
    </xf>
    <xf numFmtId="0" fontId="1" fillId="7" borderId="0" xfId="0" applyFont="1" applyFill="1" applyAlignment="1">
      <alignment horizontal="center" vertical="center"/>
    </xf>
    <xf numFmtId="0" fontId="0" fillId="7" borderId="0" xfId="0" applyFill="1" applyAlignment="1">
      <alignment vertical="center"/>
    </xf>
    <xf numFmtId="0" fontId="0" fillId="7" borderId="14" xfId="0" applyFill="1" applyBorder="1" applyAlignment="1">
      <alignment horizontal="left" vertical="center"/>
    </xf>
    <xf numFmtId="2" fontId="1" fillId="7" borderId="0" xfId="0" applyNumberFormat="1" applyFont="1" applyFill="1" applyAlignment="1">
      <alignment horizontal="center" vertical="center"/>
    </xf>
    <xf numFmtId="2" fontId="1" fillId="7" borderId="14" xfId="0" applyNumberFormat="1" applyFont="1" applyFill="1" applyBorder="1" applyAlignment="1">
      <alignment horizontal="left" vertical="center"/>
    </xf>
    <xf numFmtId="0" fontId="0" fillId="7" borderId="17" xfId="0" applyFill="1" applyBorder="1" applyAlignment="1">
      <alignment vertical="center"/>
    </xf>
    <xf numFmtId="0" fontId="0" fillId="7" borderId="10" xfId="0" applyFill="1" applyBorder="1" applyAlignment="1">
      <alignment vertical="center"/>
    </xf>
    <xf numFmtId="0" fontId="0" fillId="7" borderId="9" xfId="0" applyFill="1" applyBorder="1" applyAlignment="1">
      <alignment horizontal="left" vertical="center"/>
    </xf>
    <xf numFmtId="0" fontId="0" fillId="7" borderId="17" xfId="0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2" fontId="1" fillId="5" borderId="6" xfId="0" applyNumberFormat="1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0" fillId="7" borderId="0" xfId="0" applyFill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66"/>
      <color rgb="FF000099"/>
      <color rgb="FFFF9933"/>
      <color rgb="FFDBD600"/>
      <color rgb="FFEBE600"/>
      <color rgb="FFD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O26"/>
  <sheetViews>
    <sheetView tabSelected="1" workbookViewId="0">
      <selection activeCell="R17" sqref="R17"/>
    </sheetView>
  </sheetViews>
  <sheetFormatPr defaultRowHeight="15" x14ac:dyDescent="0.25"/>
  <cols>
    <col min="1" max="1" width="3.5703125" customWidth="1"/>
    <col min="2" max="2" width="5.7109375" customWidth="1"/>
    <col min="3" max="3" width="6.140625" customWidth="1"/>
    <col min="4" max="4" width="5.42578125" customWidth="1"/>
    <col min="5" max="5" width="9.5703125" customWidth="1"/>
    <col min="6" max="6" width="12.28515625" bestFit="1" customWidth="1"/>
    <col min="7" max="7" width="1.7109375" customWidth="1"/>
    <col min="8" max="8" width="7" customWidth="1"/>
    <col min="9" max="9" width="16.5703125" customWidth="1"/>
    <col min="10" max="10" width="9.85546875" customWidth="1"/>
  </cols>
  <sheetData>
    <row r="1" spans="2:15" ht="15.75" thickBot="1" x14ac:dyDescent="0.3"/>
    <row r="2" spans="2:15" ht="18" thickBot="1" x14ac:dyDescent="0.3">
      <c r="B2" s="51" t="s">
        <v>3</v>
      </c>
      <c r="C2" s="52"/>
      <c r="D2" s="52"/>
      <c r="E2" s="52"/>
      <c r="F2" s="52"/>
      <c r="G2" s="52"/>
      <c r="H2" s="52"/>
      <c r="I2" s="52"/>
      <c r="J2" s="53"/>
    </row>
    <row r="3" spans="2:15" ht="15.75" thickBot="1" x14ac:dyDescent="0.3">
      <c r="D3" s="1"/>
      <c r="E3" s="1"/>
      <c r="F3" s="1"/>
    </row>
    <row r="4" spans="2:15" ht="15.75" thickBot="1" x14ac:dyDescent="0.3">
      <c r="B4" s="35" t="s">
        <v>2</v>
      </c>
      <c r="C4" s="36"/>
      <c r="D4" s="36"/>
      <c r="E4" s="36"/>
      <c r="F4" s="37"/>
      <c r="I4" s="35" t="s">
        <v>4</v>
      </c>
      <c r="J4" s="37"/>
    </row>
    <row r="5" spans="2:15" ht="15" customHeight="1" x14ac:dyDescent="0.25">
      <c r="B5" s="54" t="s">
        <v>5</v>
      </c>
      <c r="C5" s="55"/>
      <c r="D5" s="55"/>
      <c r="E5" s="7">
        <v>25</v>
      </c>
      <c r="F5" s="8" t="s">
        <v>6</v>
      </c>
      <c r="I5" s="9" t="s">
        <v>1</v>
      </c>
      <c r="J5" s="10" t="s">
        <v>7</v>
      </c>
    </row>
    <row r="6" spans="2:15" ht="15" customHeight="1" x14ac:dyDescent="0.25">
      <c r="B6" s="40" t="s">
        <v>8</v>
      </c>
      <c r="C6" s="41"/>
      <c r="D6" s="41"/>
      <c r="E6" s="2">
        <v>7</v>
      </c>
      <c r="F6" s="3" t="s">
        <v>9</v>
      </c>
      <c r="I6" s="4" t="s">
        <v>10</v>
      </c>
      <c r="J6" s="11">
        <v>0.25</v>
      </c>
    </row>
    <row r="7" spans="2:15" ht="15" customHeight="1" x14ac:dyDescent="0.25">
      <c r="B7" s="40" t="s">
        <v>1</v>
      </c>
      <c r="C7" s="41"/>
      <c r="D7" s="41"/>
      <c r="E7" s="31" t="s">
        <v>11</v>
      </c>
      <c r="F7" s="50"/>
      <c r="I7" s="4" t="s">
        <v>11</v>
      </c>
      <c r="J7" s="11">
        <v>0.25</v>
      </c>
    </row>
    <row r="8" spans="2:15" ht="15" customHeight="1" x14ac:dyDescent="0.25">
      <c r="B8" s="27" t="s">
        <v>12</v>
      </c>
      <c r="C8" s="28"/>
      <c r="D8" s="28"/>
      <c r="E8" s="31">
        <v>100</v>
      </c>
      <c r="F8" s="33" t="s">
        <v>13</v>
      </c>
      <c r="I8" s="4" t="s">
        <v>14</v>
      </c>
      <c r="J8" s="11">
        <v>0.38</v>
      </c>
    </row>
    <row r="9" spans="2:15" ht="15.75" thickBot="1" x14ac:dyDescent="0.3">
      <c r="B9" s="29"/>
      <c r="C9" s="30"/>
      <c r="D9" s="30"/>
      <c r="E9" s="32"/>
      <c r="F9" s="34"/>
      <c r="I9" s="4" t="s">
        <v>15</v>
      </c>
      <c r="J9" s="11">
        <v>0.38</v>
      </c>
    </row>
    <row r="10" spans="2:15" ht="15.75" thickBot="1" x14ac:dyDescent="0.3">
      <c r="D10" s="1"/>
      <c r="E10" s="1"/>
      <c r="F10" s="1"/>
      <c r="I10" s="5" t="s">
        <v>16</v>
      </c>
      <c r="J10" s="12">
        <v>0.2</v>
      </c>
      <c r="O10" s="1"/>
    </row>
    <row r="11" spans="2:15" ht="15.75" thickBot="1" x14ac:dyDescent="0.3">
      <c r="B11" s="35" t="s">
        <v>17</v>
      </c>
      <c r="C11" s="36"/>
      <c r="D11" s="36"/>
      <c r="E11" s="36"/>
      <c r="F11" s="37"/>
    </row>
    <row r="12" spans="2:15" ht="15" customHeight="1" x14ac:dyDescent="0.25">
      <c r="B12" s="38" t="s">
        <v>18</v>
      </c>
      <c r="C12" s="39"/>
      <c r="D12" s="39"/>
      <c r="E12" s="13">
        <f>EXP(VLOOKUP($E$7,$I$6:$J$10,2,FALSE)*(1-(28/$E$6)^(1/2)))</f>
        <v>0.77880078307140488</v>
      </c>
      <c r="F12" s="14" t="s">
        <v>0</v>
      </c>
    </row>
    <row r="13" spans="2:15" ht="15" customHeight="1" x14ac:dyDescent="0.25">
      <c r="B13" s="40" t="s">
        <v>19</v>
      </c>
      <c r="C13" s="41"/>
      <c r="D13" s="41"/>
      <c r="E13" s="15">
        <f>$E$5*$E$12</f>
        <v>19.470019576785123</v>
      </c>
      <c r="F13" s="3" t="s">
        <v>6</v>
      </c>
    </row>
    <row r="14" spans="2:15" ht="15" customHeight="1" x14ac:dyDescent="0.25">
      <c r="B14" s="40" t="s">
        <v>20</v>
      </c>
      <c r="C14" s="41"/>
      <c r="D14" s="41"/>
      <c r="E14" s="44">
        <f>$E$8*$E$12</f>
        <v>77.880078307140494</v>
      </c>
      <c r="F14" s="33" t="s">
        <v>13</v>
      </c>
      <c r="O14" s="16"/>
    </row>
    <row r="15" spans="2:15" ht="15.75" thickBot="1" x14ac:dyDescent="0.3">
      <c r="B15" s="42"/>
      <c r="C15" s="43"/>
      <c r="D15" s="43"/>
      <c r="E15" s="45"/>
      <c r="F15" s="34"/>
    </row>
    <row r="16" spans="2:15" ht="15.75" thickBot="1" x14ac:dyDescent="0.3">
      <c r="C16" s="1"/>
      <c r="D16" s="1"/>
      <c r="E16" s="6"/>
      <c r="F16" s="1"/>
    </row>
    <row r="17" spans="2:8" ht="15.75" thickBot="1" x14ac:dyDescent="0.3">
      <c r="B17" s="46" t="s">
        <v>21</v>
      </c>
      <c r="C17" s="47"/>
      <c r="D17" s="47"/>
      <c r="E17" s="47"/>
      <c r="F17" s="47"/>
      <c r="G17" s="47"/>
      <c r="H17" s="48"/>
    </row>
    <row r="18" spans="2:8" x14ac:dyDescent="0.25">
      <c r="B18" s="17" t="s">
        <v>22</v>
      </c>
      <c r="C18" s="18">
        <f>$E$6</f>
        <v>7</v>
      </c>
      <c r="D18" s="19" t="s">
        <v>23</v>
      </c>
      <c r="E18" s="19"/>
      <c r="F18" s="19"/>
      <c r="G18" s="19"/>
      <c r="H18" s="20"/>
    </row>
    <row r="19" spans="2:8" x14ac:dyDescent="0.25">
      <c r="B19" s="17" t="s">
        <v>24</v>
      </c>
      <c r="C19" s="21">
        <f>$E$13</f>
        <v>19.470019576785123</v>
      </c>
      <c r="D19" s="49" t="s">
        <v>25</v>
      </c>
      <c r="E19" s="49"/>
      <c r="F19" s="49"/>
      <c r="G19" s="49"/>
      <c r="H19" s="22">
        <f>$E$14</f>
        <v>77.880078307140494</v>
      </c>
    </row>
    <row r="20" spans="2:8" ht="15.75" thickBot="1" x14ac:dyDescent="0.3">
      <c r="B20" s="25" t="s">
        <v>26</v>
      </c>
      <c r="C20" s="26"/>
      <c r="D20" s="26"/>
      <c r="E20" s="26"/>
      <c r="F20" s="23"/>
      <c r="G20" s="23"/>
      <c r="H20" s="24"/>
    </row>
    <row r="25" spans="2:8" x14ac:dyDescent="0.25">
      <c r="E25" s="1"/>
      <c r="F25" s="1"/>
      <c r="G25" s="1"/>
      <c r="H25" s="1"/>
    </row>
    <row r="26" spans="2:8" x14ac:dyDescent="0.25">
      <c r="E26" s="1"/>
      <c r="F26" s="1"/>
      <c r="G26" s="1"/>
      <c r="H26" s="1"/>
    </row>
  </sheetData>
  <mergeCells count="19">
    <mergeCell ref="B7:D7"/>
    <mergeCell ref="E7:F7"/>
    <mergeCell ref="B2:J2"/>
    <mergeCell ref="B4:F4"/>
    <mergeCell ref="I4:J4"/>
    <mergeCell ref="B5:D5"/>
    <mergeCell ref="B6:D6"/>
    <mergeCell ref="B20:E20"/>
    <mergeCell ref="B8:D9"/>
    <mergeCell ref="E8:E9"/>
    <mergeCell ref="F8:F9"/>
    <mergeCell ref="B11:F11"/>
    <mergeCell ref="B12:D12"/>
    <mergeCell ref="B13:D13"/>
    <mergeCell ref="B14:D15"/>
    <mergeCell ref="E14:E15"/>
    <mergeCell ref="F14:F15"/>
    <mergeCell ref="B17:H17"/>
    <mergeCell ref="D19:G19"/>
  </mergeCells>
  <dataValidations disablePrompts="1" count="1">
    <dataValidation type="list" allowBlank="1" showInputMessage="1" showErrorMessage="1" sqref="E7:F7" xr:uid="{00000000-0002-0000-0500-000000000000}">
      <formula1>$I$6:$I$10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Idade do Concreto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</dc:creator>
  <cp:lastModifiedBy>Dilmar Balbinotte</cp:lastModifiedBy>
  <cp:lastPrinted>2017-07-27T20:21:22Z</cp:lastPrinted>
  <dcterms:created xsi:type="dcterms:W3CDTF">2017-07-26T14:40:06Z</dcterms:created>
  <dcterms:modified xsi:type="dcterms:W3CDTF">2026-08-03T00:20:30Z</dcterms:modified>
</cp:coreProperties>
</file>