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f1cc87a79b3129/DILMAR/PLANILHAS DE CÁLCULO/ENVIADO SÉRGIO/"/>
    </mc:Choice>
  </mc:AlternateContent>
  <xr:revisionPtr revIDLastSave="4" documentId="11_0D8C86E2A144B7F5BC3B5624490BE19C3B08E7B4" xr6:coauthVersionLast="47" xr6:coauthVersionMax="47" xr10:uidLastSave="{0FB13680-8AFF-45CD-9BFB-54549C37E7D3}"/>
  <bookViews>
    <workbookView xWindow="-120" yWindow="-120" windowWidth="29040" windowHeight="15720" tabRatio="879" xr2:uid="{00000000-000D-0000-FFFF-FFFF00000000}"/>
  </bookViews>
  <sheets>
    <sheet name="Dosagem CA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N9" i="11"/>
  <c r="N12" i="11" l="1"/>
  <c r="N8" i="11"/>
  <c r="K6" i="11" l="1"/>
  <c r="K12" i="11" s="1"/>
  <c r="D13" i="11"/>
  <c r="D14" i="11" s="1"/>
  <c r="I11" i="11"/>
  <c r="I10" i="11"/>
  <c r="J6" i="11"/>
  <c r="O6" i="11" s="1"/>
  <c r="J10" i="11" l="1"/>
  <c r="O10" i="11" s="1"/>
  <c r="I9" i="11"/>
  <c r="J9" i="11" s="1"/>
  <c r="O9" i="11" s="1"/>
  <c r="I7" i="11"/>
  <c r="J7" i="11" s="1"/>
  <c r="O7" i="11" s="1"/>
  <c r="J11" i="11"/>
  <c r="O11" i="11" s="1"/>
  <c r="I8" i="11" l="1"/>
  <c r="J8" i="11" s="1"/>
  <c r="I12" i="11" l="1"/>
  <c r="J12" i="11"/>
  <c r="O8" i="11"/>
  <c r="O12" i="11" l="1"/>
  <c r="P8" i="11" s="1"/>
  <c r="P12" i="11" l="1"/>
  <c r="P6" i="11"/>
  <c r="P10" i="11"/>
  <c r="P11" i="11"/>
  <c r="P7" i="11"/>
  <c r="P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Windows</author>
  </authors>
  <commentList>
    <comment ref="B13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Total de Materiais (brita, areia, finos)</t>
        </r>
      </text>
    </comment>
    <comment ref="B14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Total de agregado miúdo</t>
        </r>
      </text>
    </comment>
  </commentList>
</comments>
</file>

<file path=xl/sharedStrings.xml><?xml version="1.0" encoding="utf-8"?>
<sst xmlns="http://schemas.openxmlformats.org/spreadsheetml/2006/main" count="42" uniqueCount="30">
  <si>
    <t>%</t>
  </si>
  <si>
    <t>Cimento</t>
  </si>
  <si>
    <t xml:space="preserve">m = </t>
  </si>
  <si>
    <t>Água</t>
  </si>
  <si>
    <t>Traço</t>
  </si>
  <si>
    <t>DOSAGEM DE CONCRETO AUTOADENSÁVEL - MÉTODO TUTIKIAN</t>
  </si>
  <si>
    <t>Dados</t>
  </si>
  <si>
    <t>Traço Unitário FINAL</t>
  </si>
  <si>
    <t>Quant. Cimento</t>
  </si>
  <si>
    <t>kg/m³</t>
  </si>
  <si>
    <t>Material</t>
  </si>
  <si>
    <t>Fator a/c</t>
  </si>
  <si>
    <t>Adm.</t>
  </si>
  <si>
    <t>Teor de Argamassa</t>
  </si>
  <si>
    <t>Fíler</t>
  </si>
  <si>
    <t>Teor de Fíler</t>
  </si>
  <si>
    <t>Agregado miúdo</t>
  </si>
  <si>
    <t>Teor de Aditivo</t>
  </si>
  <si>
    <t>Agregado graúdo</t>
  </si>
  <si>
    <t>Peso Específico do Concreto Endurecido</t>
  </si>
  <si>
    <t>Aditivo</t>
  </si>
  <si>
    <t>Adm</t>
  </si>
  <si>
    <t xml:space="preserve">a = </t>
  </si>
  <si>
    <r>
      <t>Densid.</t>
    </r>
    <r>
      <rPr>
        <sz val="8"/>
        <color theme="1"/>
        <rFont val="Calibri"/>
        <family val="2"/>
        <scheme val="minor"/>
      </rPr>
      <t>(kg/m³)</t>
    </r>
  </si>
  <si>
    <t>Custo FINAL</t>
  </si>
  <si>
    <t>R$ / kg</t>
  </si>
  <si>
    <t>Total</t>
  </si>
  <si>
    <t>R$ / m³</t>
  </si>
  <si>
    <t xml:space="preserve">TOTAL  </t>
  </si>
  <si>
    <t>% 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</si>
</sst>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* #,##0.00_-;\-&quot;R$&quot;* #,##0.00_-;_-&quot;R$&quot;* &quot;-&quot;??_-;_-@_-"/>
    <numFmt numFmtId="165" formatCode="0.0000"/>
    <numFmt numFmtId="166" formatCode="0.000"/>
    <numFmt numFmtId="167" formatCode="_-&quot;R$&quot;* #,##0.000_-;\-&quot;R$&quot;* #,##0.0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5" borderId="6" xfId="0" applyFont="1" applyFill="1" applyBorder="1" applyAlignment="1">
      <alignment horizontal="right" vertical="center"/>
    </xf>
    <xf numFmtId="2" fontId="2" fillId="5" borderId="9" xfId="0" applyNumberFormat="1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2" fillId="5" borderId="9" xfId="0" applyNumberFormat="1" applyFont="1" applyFill="1" applyBorder="1"/>
    <xf numFmtId="10" fontId="2" fillId="5" borderId="7" xfId="0" applyNumberFormat="1" applyFont="1" applyFill="1" applyBorder="1" applyAlignment="1">
      <alignment horizontal="center" vertical="center"/>
    </xf>
    <xf numFmtId="164" fontId="0" fillId="4" borderId="1" xfId="1" applyFont="1" applyFill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66"/>
      <color rgb="FF000099"/>
      <color rgb="FFFF9933"/>
      <color rgb="FFDBD600"/>
      <color rgb="FFEBE600"/>
      <color rgb="FFD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0"/>
  <sheetViews>
    <sheetView tabSelected="1" workbookViewId="0">
      <selection activeCell="N22" sqref="N22"/>
    </sheetView>
  </sheetViews>
  <sheetFormatPr defaultRowHeight="15" x14ac:dyDescent="0.25"/>
  <cols>
    <col min="1" max="1" width="3.5703125" customWidth="1"/>
    <col min="2" max="2" width="5.7109375" customWidth="1"/>
    <col min="3" max="3" width="8" customWidth="1"/>
    <col min="4" max="4" width="8.28515625" customWidth="1"/>
    <col min="5" max="5" width="8.5703125" customWidth="1"/>
    <col min="6" max="6" width="12.28515625" bestFit="1" customWidth="1"/>
    <col min="7" max="7" width="2.7109375" customWidth="1"/>
    <col min="8" max="8" width="16.28515625" customWidth="1"/>
    <col min="9" max="9" width="9.5703125" customWidth="1"/>
    <col min="10" max="10" width="9.85546875" customWidth="1"/>
    <col min="11" max="11" width="13.140625" customWidth="1"/>
    <col min="12" max="12" width="4.42578125" customWidth="1"/>
    <col min="13" max="13" width="17.5703125" customWidth="1"/>
    <col min="14" max="14" width="11.28515625" customWidth="1"/>
    <col min="15" max="15" width="11.5703125" customWidth="1"/>
  </cols>
  <sheetData>
    <row r="1" spans="2:16" ht="15.75" thickBot="1" x14ac:dyDescent="0.3"/>
    <row r="2" spans="2:16" ht="18" thickBot="1" x14ac:dyDescent="0.3">
      <c r="B2" s="38" t="s">
        <v>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2:16" ht="15.75" thickBot="1" x14ac:dyDescent="0.3">
      <c r="D3" s="1"/>
      <c r="E3" s="1"/>
      <c r="F3" s="1"/>
    </row>
    <row r="4" spans="2:16" ht="15" customHeight="1" x14ac:dyDescent="0.25">
      <c r="B4" s="41" t="s">
        <v>6</v>
      </c>
      <c r="C4" s="42"/>
      <c r="D4" s="42"/>
      <c r="E4" s="42"/>
      <c r="F4" s="43"/>
      <c r="H4" s="41" t="s">
        <v>7</v>
      </c>
      <c r="I4" s="42"/>
      <c r="J4" s="42"/>
      <c r="K4" s="43"/>
      <c r="M4" s="41" t="s">
        <v>24</v>
      </c>
      <c r="N4" s="42"/>
      <c r="O4" s="42"/>
      <c r="P4" s="43"/>
    </row>
    <row r="5" spans="2:16" ht="15" customHeight="1" x14ac:dyDescent="0.25">
      <c r="B5" s="34" t="s">
        <v>8</v>
      </c>
      <c r="C5" s="35"/>
      <c r="D5" s="35"/>
      <c r="E5" s="2">
        <v>400</v>
      </c>
      <c r="F5" s="3" t="s">
        <v>9</v>
      </c>
      <c r="H5" s="14" t="s">
        <v>10</v>
      </c>
      <c r="I5" s="15" t="s">
        <v>4</v>
      </c>
      <c r="J5" s="15" t="s">
        <v>9</v>
      </c>
      <c r="K5" s="4" t="s">
        <v>23</v>
      </c>
      <c r="M5" s="14" t="s">
        <v>10</v>
      </c>
      <c r="N5" s="15" t="s">
        <v>25</v>
      </c>
      <c r="O5" s="15" t="s">
        <v>27</v>
      </c>
      <c r="P5" s="4" t="s">
        <v>29</v>
      </c>
    </row>
    <row r="6" spans="2:16" ht="15" customHeight="1" x14ac:dyDescent="0.25">
      <c r="B6" s="34" t="s">
        <v>11</v>
      </c>
      <c r="C6" s="35"/>
      <c r="D6" s="35"/>
      <c r="E6" s="5">
        <v>0.5</v>
      </c>
      <c r="F6" s="3" t="s">
        <v>12</v>
      </c>
      <c r="H6" s="6" t="s">
        <v>1</v>
      </c>
      <c r="I6" s="7">
        <v>1</v>
      </c>
      <c r="J6" s="7">
        <f>I6*E5</f>
        <v>400</v>
      </c>
      <c r="K6" s="13">
        <f>3160</f>
        <v>3160</v>
      </c>
      <c r="M6" s="6" t="s">
        <v>1</v>
      </c>
      <c r="N6" s="25">
        <v>0.67</v>
      </c>
      <c r="O6" s="7">
        <f>N6*J6</f>
        <v>268</v>
      </c>
      <c r="P6" s="20">
        <f>O6/$O$12</f>
        <v>0.66163356791840688</v>
      </c>
    </row>
    <row r="7" spans="2:16" ht="15" customHeight="1" x14ac:dyDescent="0.25">
      <c r="B7" s="34" t="s">
        <v>13</v>
      </c>
      <c r="C7" s="35"/>
      <c r="D7" s="35"/>
      <c r="E7" s="2">
        <v>58</v>
      </c>
      <c r="F7" s="3" t="s">
        <v>0</v>
      </c>
      <c r="H7" s="6" t="s">
        <v>14</v>
      </c>
      <c r="I7" s="7">
        <f>D14*E8/100</f>
        <v>0.40899999999999997</v>
      </c>
      <c r="J7" s="7">
        <f>$J$6*I7</f>
        <v>163.6</v>
      </c>
      <c r="K7" s="13">
        <v>2250</v>
      </c>
      <c r="M7" s="6" t="s">
        <v>14</v>
      </c>
      <c r="N7" s="25">
        <f>59*1.4/1000</f>
        <v>8.2599999999999993E-2</v>
      </c>
      <c r="O7" s="7">
        <f t="shared" ref="O7:O11" si="0">N7*J7</f>
        <v>13.513359999999999</v>
      </c>
      <c r="P7" s="20">
        <f t="shared" ref="P7:P12" si="1">O7/$O$12</f>
        <v>3.3361539520021945E-2</v>
      </c>
    </row>
    <row r="8" spans="2:16" ht="15" customHeight="1" x14ac:dyDescent="0.25">
      <c r="B8" s="34" t="s">
        <v>15</v>
      </c>
      <c r="C8" s="35"/>
      <c r="D8" s="35"/>
      <c r="E8" s="2">
        <v>20</v>
      </c>
      <c r="F8" s="3" t="s">
        <v>0</v>
      </c>
      <c r="H8" s="6" t="s">
        <v>16</v>
      </c>
      <c r="I8" s="7">
        <f>D14-I7</f>
        <v>1.6359999999999999</v>
      </c>
      <c r="J8" s="7">
        <f t="shared" ref="J8:J11" si="2">$J$6*I8</f>
        <v>654.4</v>
      </c>
      <c r="K8" s="13">
        <v>2250</v>
      </c>
      <c r="M8" s="6" t="s">
        <v>16</v>
      </c>
      <c r="N8" s="25">
        <f>108/1400</f>
        <v>7.7142857142857138E-2</v>
      </c>
      <c r="O8" s="7">
        <f t="shared" si="0"/>
        <v>50.482285714285709</v>
      </c>
      <c r="P8" s="20">
        <f t="shared" si="1"/>
        <v>0.12462975676798237</v>
      </c>
    </row>
    <row r="9" spans="2:16" ht="15" customHeight="1" x14ac:dyDescent="0.25">
      <c r="B9" s="34" t="s">
        <v>17</v>
      </c>
      <c r="C9" s="35"/>
      <c r="D9" s="35"/>
      <c r="E9" s="2">
        <v>0.8</v>
      </c>
      <c r="F9" s="3" t="s">
        <v>0</v>
      </c>
      <c r="H9" s="6" t="s">
        <v>18</v>
      </c>
      <c r="I9" s="7">
        <f>D13-D14</f>
        <v>2.2050000000000001</v>
      </c>
      <c r="J9" s="7">
        <f t="shared" si="2"/>
        <v>882</v>
      </c>
      <c r="K9" s="13">
        <v>2650</v>
      </c>
      <c r="M9" s="6" t="s">
        <v>18</v>
      </c>
      <c r="N9" s="25">
        <f>39/1250</f>
        <v>3.1199999999999999E-2</v>
      </c>
      <c r="O9" s="7">
        <f t="shared" si="0"/>
        <v>27.5184</v>
      </c>
      <c r="P9" s="20">
        <f t="shared" si="1"/>
        <v>6.7936929758977194E-2</v>
      </c>
    </row>
    <row r="10" spans="2:16" ht="15" customHeight="1" x14ac:dyDescent="0.25">
      <c r="B10" s="26" t="s">
        <v>19</v>
      </c>
      <c r="C10" s="27"/>
      <c r="D10" s="27"/>
      <c r="E10" s="30">
        <v>2300</v>
      </c>
      <c r="F10" s="32" t="s">
        <v>9</v>
      </c>
      <c r="H10" s="6" t="s">
        <v>3</v>
      </c>
      <c r="I10" s="7">
        <f>E6</f>
        <v>0.5</v>
      </c>
      <c r="J10" s="7">
        <f t="shared" si="2"/>
        <v>200</v>
      </c>
      <c r="K10" s="13">
        <v>1000</v>
      </c>
      <c r="M10" s="6" t="s">
        <v>3</v>
      </c>
      <c r="N10" s="25">
        <v>1.2999999999999999E-2</v>
      </c>
      <c r="O10" s="7">
        <f t="shared" si="0"/>
        <v>2.6</v>
      </c>
      <c r="P10" s="20">
        <f t="shared" si="1"/>
        <v>6.4188331215964851E-3</v>
      </c>
    </row>
    <row r="11" spans="2:16" ht="15.75" thickBot="1" x14ac:dyDescent="0.3">
      <c r="B11" s="28"/>
      <c r="C11" s="29"/>
      <c r="D11" s="29"/>
      <c r="E11" s="31"/>
      <c r="F11" s="33"/>
      <c r="H11" s="6" t="s">
        <v>20</v>
      </c>
      <c r="I11" s="16">
        <f>I6*E9/100</f>
        <v>8.0000000000000002E-3</v>
      </c>
      <c r="J11" s="7">
        <f t="shared" si="2"/>
        <v>3.2</v>
      </c>
      <c r="K11" s="13">
        <v>1050</v>
      </c>
      <c r="M11" s="6" t="s">
        <v>20</v>
      </c>
      <c r="N11" s="24">
        <v>13.42</v>
      </c>
      <c r="O11" s="7">
        <f t="shared" si="0"/>
        <v>42.944000000000003</v>
      </c>
      <c r="P11" s="20">
        <f t="shared" si="1"/>
        <v>0.10601937291301518</v>
      </c>
    </row>
    <row r="12" spans="2:16" ht="15.75" thickBot="1" x14ac:dyDescent="0.3">
      <c r="D12" s="1"/>
      <c r="E12" s="1"/>
      <c r="F12" s="1"/>
      <c r="H12" s="17" t="s">
        <v>28</v>
      </c>
      <c r="I12" s="18">
        <f>SUM(I6:I11)</f>
        <v>5.758</v>
      </c>
      <c r="J12" s="18">
        <f>SUM(J6:J11)</f>
        <v>2303.1999999999998</v>
      </c>
      <c r="K12" s="19">
        <f>SUM(K6:K11)</f>
        <v>12360</v>
      </c>
      <c r="M12" s="21" t="s">
        <v>26</v>
      </c>
      <c r="N12" s="22">
        <f>SUM(N6:N11)</f>
        <v>14.293942857142858</v>
      </c>
      <c r="O12" s="22">
        <f>SUM(O6:O11)</f>
        <v>405.0580457142857</v>
      </c>
      <c r="P12" s="23">
        <f t="shared" si="1"/>
        <v>1</v>
      </c>
    </row>
    <row r="13" spans="2:16" ht="15" customHeight="1" x14ac:dyDescent="0.25">
      <c r="B13" s="44" t="s">
        <v>2</v>
      </c>
      <c r="C13" s="45"/>
      <c r="D13" s="8">
        <f>(E10/E5)-(1+E6)</f>
        <v>4.25</v>
      </c>
      <c r="E13" s="9" t="s">
        <v>21</v>
      </c>
    </row>
    <row r="14" spans="2:16" ht="15.75" thickBot="1" x14ac:dyDescent="0.3">
      <c r="B14" s="36" t="s">
        <v>22</v>
      </c>
      <c r="C14" s="37"/>
      <c r="D14" s="10">
        <f>((E7/100)+((E7/100)*D13))-1</f>
        <v>2.0449999999999999</v>
      </c>
      <c r="E14" s="11" t="s">
        <v>21</v>
      </c>
    </row>
    <row r="15" spans="2:16" ht="15" customHeight="1" x14ac:dyDescent="0.25">
      <c r="C15" s="1"/>
      <c r="D15" s="1"/>
      <c r="E15" s="12"/>
      <c r="F15" s="1"/>
    </row>
    <row r="19" spans="5:8" x14ac:dyDescent="0.25">
      <c r="E19" s="1"/>
      <c r="F19" s="1"/>
      <c r="G19" s="1"/>
      <c r="H19" s="1"/>
    </row>
    <row r="20" spans="5:8" x14ac:dyDescent="0.25">
      <c r="E20" s="1"/>
      <c r="F20" s="1"/>
      <c r="G20" s="1"/>
      <c r="H20" s="1"/>
    </row>
  </sheetData>
  <mergeCells count="14">
    <mergeCell ref="M4:P4"/>
    <mergeCell ref="B2:P2"/>
    <mergeCell ref="B14:C14"/>
    <mergeCell ref="B8:D8"/>
    <mergeCell ref="B9:D9"/>
    <mergeCell ref="B10:D11"/>
    <mergeCell ref="E10:E11"/>
    <mergeCell ref="F10:F11"/>
    <mergeCell ref="B13:C13"/>
    <mergeCell ref="B4:F4"/>
    <mergeCell ref="H4:K4"/>
    <mergeCell ref="B5:D5"/>
    <mergeCell ref="B6:D6"/>
    <mergeCell ref="B7:D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Dosagem 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Dilmar Balbinotte</cp:lastModifiedBy>
  <cp:lastPrinted>2017-07-27T20:21:22Z</cp:lastPrinted>
  <dcterms:created xsi:type="dcterms:W3CDTF">2017-07-26T14:40:06Z</dcterms:created>
  <dcterms:modified xsi:type="dcterms:W3CDTF">2026-08-03T00:19:55Z</dcterms:modified>
</cp:coreProperties>
</file>